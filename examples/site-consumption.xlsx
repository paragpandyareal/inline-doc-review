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Region</t>
        </is>
      </c>
      <c r="C1" s="1" t="inlineStr">
        <is>
          <t>Tariff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Total</t>
        </is>
      </c>
      <c r="Q1" s="1" t="inlineStr">
        <is>
          <t>Average</t>
        </is>
      </c>
      <c r="R1" s="1" t="inlineStr">
        <is>
          <t>Change</t>
        </is>
      </c>
    </row>
    <row r="2">
      <c r="A2" t="inlineStr">
        <is>
          <t>NMI-4102</t>
        </is>
      </c>
      <c r="B2" t="inlineStr">
        <is>
          <t>Parramatta</t>
        </is>
      </c>
      <c r="C2" t="inlineStr">
        <is>
          <t>Flat</t>
        </is>
      </c>
      <c r="D2" t="n">
        <v>1408</v>
      </c>
      <c r="E2" t="n">
        <v>1933</v>
      </c>
      <c r="F2" t="n">
        <v>698</v>
      </c>
      <c r="G2" t="n">
        <v>748</v>
      </c>
      <c r="H2" t="n">
        <v>2281</v>
      </c>
      <c r="I2" t="n">
        <v>1697</v>
      </c>
      <c r="J2" t="n">
        <v>792</v>
      </c>
      <c r="K2" t="n">
        <v>1348</v>
      </c>
      <c r="L2" t="n">
        <v>1793</v>
      </c>
      <c r="M2" t="n">
        <v>718</v>
      </c>
      <c r="N2" t="n">
        <v>1639</v>
      </c>
      <c r="O2" t="n">
        <v>1039</v>
      </c>
      <c r="P2">
        <f>SUM(D2:O2)</f>
        <v/>
      </c>
      <c r="Q2" s="2">
        <f>AVERAGE(D2:O2)</f>
        <v/>
      </c>
      <c r="R2" s="3">
        <f>(O2-D2)/D2</f>
        <v/>
      </c>
    </row>
    <row r="3">
      <c r="A3" t="inlineStr">
        <is>
          <t>NMI-4103</t>
        </is>
      </c>
      <c r="B3" t="inlineStr">
        <is>
          <t>Penrith</t>
        </is>
      </c>
      <c r="C3" t="inlineStr">
        <is>
          <t>Flat</t>
        </is>
      </c>
      <c r="D3" t="n">
        <v>1488</v>
      </c>
      <c r="E3" t="n">
        <v>1456</v>
      </c>
      <c r="F3" t="n">
        <v>743</v>
      </c>
      <c r="G3" t="n">
        <v>1092</v>
      </c>
      <c r="H3" t="n">
        <v>785</v>
      </c>
      <c r="I3" t="n">
        <v>1728</v>
      </c>
      <c r="J3" t="n">
        <v>1469</v>
      </c>
      <c r="K3" t="n">
        <v>721</v>
      </c>
      <c r="L3" t="n">
        <v>2293</v>
      </c>
      <c r="M3" t="n">
        <v>1758</v>
      </c>
      <c r="N3" t="n">
        <v>853</v>
      </c>
      <c r="O3" t="n">
        <v>1057</v>
      </c>
      <c r="P3">
        <f>SUM(D3:O3)</f>
        <v/>
      </c>
      <c r="Q3" s="2">
        <f>AVERAGE(D3:O3)</f>
        <v/>
      </c>
      <c r="R3" s="3">
        <f>(O3-D3)/D3</f>
        <v/>
      </c>
    </row>
    <row r="4">
      <c r="A4" t="inlineStr">
        <is>
          <t>NMI-4104</t>
        </is>
      </c>
      <c r="B4" t="inlineStr">
        <is>
          <t>Campbelltown</t>
        </is>
      </c>
      <c r="C4" t="inlineStr">
        <is>
          <t>Flat</t>
        </is>
      </c>
      <c r="D4" t="n">
        <v>1781</v>
      </c>
      <c r="E4" t="n">
        <v>1799</v>
      </c>
      <c r="F4" t="n">
        <v>1412</v>
      </c>
      <c r="G4" t="n">
        <v>701</v>
      </c>
      <c r="H4" t="n">
        <v>1052</v>
      </c>
      <c r="I4" t="n">
        <v>695</v>
      </c>
      <c r="J4" t="n">
        <v>1740</v>
      </c>
      <c r="K4" t="n">
        <v>2358</v>
      </c>
      <c r="L4" t="n">
        <v>872</v>
      </c>
      <c r="M4" t="n">
        <v>1193</v>
      </c>
      <c r="N4" t="n">
        <v>1458</v>
      </c>
      <c r="O4" t="n">
        <v>895</v>
      </c>
      <c r="P4">
        <f>SUM(D4:O4)</f>
        <v/>
      </c>
      <c r="Q4" s="2">
        <f>AVERAGE(D4:O4)</f>
        <v/>
      </c>
      <c r="R4" s="3">
        <f>(O4-D4)/D4</f>
        <v/>
      </c>
    </row>
    <row r="5">
      <c r="A5" t="inlineStr">
        <is>
          <t>NMI-4105</t>
        </is>
      </c>
      <c r="B5" t="inlineStr">
        <is>
          <t>Campbelltown</t>
        </is>
      </c>
      <c r="C5" t="inlineStr">
        <is>
          <t>Flat</t>
        </is>
      </c>
      <c r="D5" t="n">
        <v>1769</v>
      </c>
      <c r="E5" t="n">
        <v>1231</v>
      </c>
      <c r="F5" t="n">
        <v>1747</v>
      </c>
      <c r="G5" t="n">
        <v>2271</v>
      </c>
      <c r="H5" t="n">
        <v>1996</v>
      </c>
      <c r="I5" t="n">
        <v>970</v>
      </c>
      <c r="J5" t="n">
        <v>811</v>
      </c>
      <c r="K5" t="n">
        <v>1791</v>
      </c>
      <c r="L5" t="n">
        <v>1769</v>
      </c>
      <c r="M5" t="n">
        <v>1908</v>
      </c>
      <c r="N5" t="n">
        <v>984</v>
      </c>
      <c r="O5" t="n">
        <v>1362</v>
      </c>
      <c r="P5">
        <f>SUM(D5:O5)</f>
        <v/>
      </c>
      <c r="Q5" s="2">
        <f>AVERAGE(D5:O5)</f>
        <v/>
      </c>
      <c r="R5" s="3">
        <f>(O5-D5)/D5</f>
        <v/>
      </c>
    </row>
    <row r="6">
      <c r="A6" t="inlineStr">
        <is>
          <t>NMI-4106</t>
        </is>
      </c>
      <c r="B6" t="inlineStr">
        <is>
          <t>Penrith</t>
        </is>
      </c>
      <c r="C6" t="inlineStr">
        <is>
          <t>Demand</t>
        </is>
      </c>
      <c r="D6" t="n">
        <v>2058</v>
      </c>
      <c r="E6" t="n">
        <v>728</v>
      </c>
      <c r="F6" t="n">
        <v>1755</v>
      </c>
      <c r="G6" t="n">
        <v>722</v>
      </c>
      <c r="H6" t="n">
        <v>1867</v>
      </c>
      <c r="I6" t="n">
        <v>1021</v>
      </c>
      <c r="J6" t="n">
        <v>1616</v>
      </c>
      <c r="K6" t="n">
        <v>1993</v>
      </c>
      <c r="L6" t="n">
        <v>1688</v>
      </c>
      <c r="M6" t="n">
        <v>1475</v>
      </c>
      <c r="N6" t="n">
        <v>2191</v>
      </c>
      <c r="O6" t="n">
        <v>1243</v>
      </c>
      <c r="P6">
        <f>SUM(D6:O6)</f>
        <v/>
      </c>
      <c r="Q6" s="2">
        <f>AVERAGE(D6:O6)</f>
        <v/>
      </c>
      <c r="R6" s="3">
        <f>(O6-D6)/D6</f>
        <v/>
      </c>
    </row>
    <row r="7">
      <c r="A7" t="inlineStr">
        <is>
          <t>NMI-4107</t>
        </is>
      </c>
      <c r="B7" t="inlineStr">
        <is>
          <t>Liverpool</t>
        </is>
      </c>
      <c r="C7" t="inlineStr">
        <is>
          <t>Demand</t>
        </is>
      </c>
      <c r="D7" t="n">
        <v>1528</v>
      </c>
      <c r="E7" t="n">
        <v>1340</v>
      </c>
      <c r="F7" t="n">
        <v>1213</v>
      </c>
      <c r="G7" t="n">
        <v>1108</v>
      </c>
      <c r="H7" t="n">
        <v>2226</v>
      </c>
      <c r="I7" t="n">
        <v>968</v>
      </c>
      <c r="J7" t="n">
        <v>2031</v>
      </c>
      <c r="K7" t="n">
        <v>2197</v>
      </c>
      <c r="L7" t="n">
        <v>1099</v>
      </c>
      <c r="M7" t="n">
        <v>767</v>
      </c>
      <c r="N7" t="n">
        <v>1776</v>
      </c>
      <c r="O7" t="n">
        <v>1214</v>
      </c>
      <c r="P7">
        <f>SUM(D7:O7)</f>
        <v/>
      </c>
      <c r="Q7" s="2">
        <f>AVERAGE(D7:O7)</f>
        <v/>
      </c>
      <c r="R7" s="3">
        <f>(O7-D7)/D7</f>
        <v/>
      </c>
    </row>
    <row r="8">
      <c r="A8" t="inlineStr">
        <is>
          <t>NMI-4108</t>
        </is>
      </c>
      <c r="B8" t="inlineStr">
        <is>
          <t>Campbelltown</t>
        </is>
      </c>
      <c r="C8" t="inlineStr">
        <is>
          <t>TOU</t>
        </is>
      </c>
      <c r="D8" t="n">
        <v>2392</v>
      </c>
      <c r="E8" t="n">
        <v>1303</v>
      </c>
      <c r="F8" t="n">
        <v>2093</v>
      </c>
      <c r="G8" t="n">
        <v>1519</v>
      </c>
      <c r="H8" t="n">
        <v>1189</v>
      </c>
      <c r="I8" t="n">
        <v>1847</v>
      </c>
      <c r="J8" t="n">
        <v>749</v>
      </c>
      <c r="K8" t="n">
        <v>841</v>
      </c>
      <c r="L8" t="n">
        <v>1648</v>
      </c>
      <c r="M8" t="n">
        <v>1456</v>
      </c>
      <c r="N8" t="n">
        <v>937</v>
      </c>
      <c r="O8" t="n">
        <v>2150</v>
      </c>
      <c r="P8">
        <f>SUM(D8:O8)</f>
        <v/>
      </c>
      <c r="Q8" s="2">
        <f>AVERAGE(D8:O8)</f>
        <v/>
      </c>
      <c r="R8" s="3">
        <f>(O8-D8)/D8</f>
        <v/>
      </c>
    </row>
    <row r="9">
      <c r="A9" t="inlineStr">
        <is>
          <t>NMI-4109</t>
        </is>
      </c>
      <c r="B9" t="inlineStr">
        <is>
          <t>Parramatta</t>
        </is>
      </c>
      <c r="C9" t="inlineStr">
        <is>
          <t>Flat</t>
        </is>
      </c>
      <c r="D9" t="n">
        <v>1601</v>
      </c>
      <c r="E9" t="n">
        <v>1463</v>
      </c>
      <c r="F9" t="n">
        <v>680</v>
      </c>
      <c r="G9" t="n">
        <v>1968</v>
      </c>
      <c r="H9" t="n">
        <v>758</v>
      </c>
      <c r="I9" t="n">
        <v>2165</v>
      </c>
      <c r="J9" t="n">
        <v>1742</v>
      </c>
      <c r="K9" t="n">
        <v>1773</v>
      </c>
      <c r="L9" t="n">
        <v>2216</v>
      </c>
      <c r="M9" t="n">
        <v>2392</v>
      </c>
      <c r="N9" t="n">
        <v>2275</v>
      </c>
      <c r="O9" t="n">
        <v>1242</v>
      </c>
      <c r="P9">
        <f>SUM(D9:O9)</f>
        <v/>
      </c>
      <c r="Q9" s="2">
        <f>AVERAGE(D9:O9)</f>
        <v/>
      </c>
      <c r="R9" s="3">
        <f>(O9-D9)/D9</f>
        <v/>
      </c>
    </row>
    <row r="10">
      <c r="A10" t="inlineStr">
        <is>
          <t>NMI-4110</t>
        </is>
      </c>
      <c r="B10" t="inlineStr">
        <is>
          <t>Parramatta</t>
        </is>
      </c>
      <c r="C10" t="inlineStr">
        <is>
          <t>Demand</t>
        </is>
      </c>
      <c r="D10" t="n">
        <v>1317</v>
      </c>
      <c r="E10" t="n">
        <v>1817</v>
      </c>
      <c r="F10" t="n">
        <v>1617</v>
      </c>
      <c r="G10" t="n">
        <v>1787</v>
      </c>
      <c r="H10" t="n">
        <v>2232</v>
      </c>
      <c r="I10" t="n">
        <v>1534</v>
      </c>
      <c r="J10" t="n">
        <v>740</v>
      </c>
      <c r="K10" t="n">
        <v>2320</v>
      </c>
      <c r="L10" t="n">
        <v>791</v>
      </c>
      <c r="M10" t="n">
        <v>1152</v>
      </c>
      <c r="N10" t="n">
        <v>1570</v>
      </c>
      <c r="O10" t="n">
        <v>2027</v>
      </c>
      <c r="P10">
        <f>SUM(D10:O10)</f>
        <v/>
      </c>
      <c r="Q10" s="2">
        <f>AVERAGE(D10:O10)</f>
        <v/>
      </c>
      <c r="R10" s="3">
        <f>(O10-D10)/D10</f>
        <v/>
      </c>
    </row>
    <row r="11">
      <c r="A11" t="inlineStr">
        <is>
          <t>NMI-4111</t>
        </is>
      </c>
      <c r="B11" t="inlineStr">
        <is>
          <t>Penrith</t>
        </is>
      </c>
      <c r="C11" t="inlineStr">
        <is>
          <t>Flat</t>
        </is>
      </c>
      <c r="D11" t="n">
        <v>2097</v>
      </c>
      <c r="E11" t="n">
        <v>2036</v>
      </c>
      <c r="F11" t="n">
        <v>1234</v>
      </c>
      <c r="G11" t="n">
        <v>1925</v>
      </c>
      <c r="H11" t="n">
        <v>1783</v>
      </c>
      <c r="I11" t="n">
        <v>1995</v>
      </c>
      <c r="J11" t="n">
        <v>2283</v>
      </c>
      <c r="K11" t="n">
        <v>1512</v>
      </c>
      <c r="L11" t="n">
        <v>1182</v>
      </c>
      <c r="M11" t="n">
        <v>2067</v>
      </c>
      <c r="N11" t="n">
        <v>1390</v>
      </c>
      <c r="O11" t="n">
        <v>1969</v>
      </c>
      <c r="P11">
        <f>SUM(D11:O11)</f>
        <v/>
      </c>
      <c r="Q11" s="2">
        <f>AVERAGE(D11:O11)</f>
        <v/>
      </c>
      <c r="R11" s="3">
        <f>(O11-D11)/D11</f>
        <v/>
      </c>
    </row>
    <row r="12">
      <c r="A12" t="inlineStr">
        <is>
          <t>NMI-4112</t>
        </is>
      </c>
      <c r="B12" t="inlineStr">
        <is>
          <t>Parramatta</t>
        </is>
      </c>
      <c r="C12" t="inlineStr">
        <is>
          <t>Flat</t>
        </is>
      </c>
      <c r="D12" t="n">
        <v>1545</v>
      </c>
      <c r="E12" t="n">
        <v>1327</v>
      </c>
      <c r="F12" t="n">
        <v>944</v>
      </c>
      <c r="G12" t="n">
        <v>1851</v>
      </c>
      <c r="H12" t="n">
        <v>839</v>
      </c>
      <c r="I12" t="n">
        <v>1611</v>
      </c>
      <c r="J12" t="n">
        <v>720</v>
      </c>
      <c r="K12" t="n">
        <v>1046</v>
      </c>
      <c r="L12" t="n">
        <v>2173</v>
      </c>
      <c r="M12" t="n">
        <v>1188</v>
      </c>
      <c r="N12" t="n">
        <v>864</v>
      </c>
      <c r="O12" t="n">
        <v>2112</v>
      </c>
      <c r="P12">
        <f>SUM(D12:O12)</f>
        <v/>
      </c>
      <c r="Q12" s="2">
        <f>AVERAGE(D12:O12)</f>
        <v/>
      </c>
      <c r="R12" s="3">
        <f>(O12-D12)/D12</f>
        <v/>
      </c>
    </row>
    <row r="13">
      <c r="A13" t="inlineStr">
        <is>
          <t>NMI-4113</t>
        </is>
      </c>
      <c r="B13" t="inlineStr">
        <is>
          <t>Blacktown</t>
        </is>
      </c>
      <c r="C13" t="inlineStr">
        <is>
          <t>TOU</t>
        </is>
      </c>
      <c r="D13" t="n">
        <v>1400</v>
      </c>
      <c r="E13" t="n">
        <v>2384</v>
      </c>
      <c r="F13" t="n">
        <v>1616</v>
      </c>
      <c r="G13" t="n">
        <v>765</v>
      </c>
      <c r="H13" t="n">
        <v>940</v>
      </c>
      <c r="I13" t="n">
        <v>1519</v>
      </c>
      <c r="J13" t="n">
        <v>1422</v>
      </c>
      <c r="K13" t="n">
        <v>1725</v>
      </c>
      <c r="L13" t="n">
        <v>1169</v>
      </c>
      <c r="M13" t="n">
        <v>880</v>
      </c>
      <c r="N13" t="n">
        <v>2277</v>
      </c>
      <c r="O13" t="n">
        <v>1481</v>
      </c>
      <c r="P13">
        <f>SUM(D13:O13)</f>
        <v/>
      </c>
      <c r="Q13" s="2">
        <f>AVERAGE(D13:O13)</f>
        <v/>
      </c>
      <c r="R13" s="3">
        <f>(O13-D13)/D13</f>
        <v/>
      </c>
    </row>
    <row r="14">
      <c r="A14" t="inlineStr">
        <is>
          <t>NMI-4114</t>
        </is>
      </c>
      <c r="B14" t="inlineStr">
        <is>
          <t>Campbelltown</t>
        </is>
      </c>
      <c r="C14" t="inlineStr">
        <is>
          <t>TOU</t>
        </is>
      </c>
      <c r="D14" t="n">
        <v>2046</v>
      </c>
      <c r="E14" t="n">
        <v>1450</v>
      </c>
      <c r="F14" t="n">
        <v>1334</v>
      </c>
      <c r="G14" t="n">
        <v>1998</v>
      </c>
      <c r="H14" t="n">
        <v>1379</v>
      </c>
      <c r="I14" t="n">
        <v>1072</v>
      </c>
      <c r="J14" t="n">
        <v>909</v>
      </c>
      <c r="K14" t="n">
        <v>769</v>
      </c>
      <c r="L14" t="n">
        <v>960</v>
      </c>
      <c r="M14" t="n">
        <v>909</v>
      </c>
      <c r="N14" t="n">
        <v>1075</v>
      </c>
      <c r="O14" t="n">
        <v>1948</v>
      </c>
      <c r="P14">
        <f>SUM(D14:O14)</f>
        <v/>
      </c>
      <c r="Q14" s="2">
        <f>AVERAGE(D14:O14)</f>
        <v/>
      </c>
      <c r="R14" s="3">
        <f>(O14-D14)/D14</f>
        <v/>
      </c>
    </row>
    <row r="15">
      <c r="A15" t="inlineStr">
        <is>
          <t>NMI-4115</t>
        </is>
      </c>
      <c r="B15" t="inlineStr">
        <is>
          <t>Blacktown</t>
        </is>
      </c>
      <c r="C15" t="inlineStr">
        <is>
          <t>Flat</t>
        </is>
      </c>
      <c r="D15" t="n">
        <v>1593</v>
      </c>
      <c r="E15" t="n">
        <v>2302</v>
      </c>
      <c r="F15" t="n">
        <v>1806</v>
      </c>
      <c r="G15" t="n">
        <v>973</v>
      </c>
      <c r="H15" t="n">
        <v>1138</v>
      </c>
      <c r="I15" t="n">
        <v>1177</v>
      </c>
      <c r="J15" t="n">
        <v>608</v>
      </c>
      <c r="K15" t="n">
        <v>898</v>
      </c>
      <c r="L15" t="n">
        <v>1458</v>
      </c>
      <c r="M15" t="n">
        <v>1694</v>
      </c>
      <c r="N15" t="n">
        <v>1356</v>
      </c>
      <c r="O15" t="n">
        <v>1848</v>
      </c>
      <c r="P15">
        <f>SUM(D15:O15)</f>
        <v/>
      </c>
      <c r="Q15" s="2">
        <f>AVERAGE(D15:O15)</f>
        <v/>
      </c>
      <c r="R15" s="3">
        <f>(O15-D15)/D15</f>
        <v/>
      </c>
    </row>
    <row r="16">
      <c r="A16" t="inlineStr">
        <is>
          <t>NMI-4116</t>
        </is>
      </c>
      <c r="B16" t="inlineStr">
        <is>
          <t>Campbelltown</t>
        </is>
      </c>
      <c r="C16" t="inlineStr">
        <is>
          <t>TOU</t>
        </is>
      </c>
      <c r="D16" t="n">
        <v>857</v>
      </c>
      <c r="E16" t="n">
        <v>2014</v>
      </c>
      <c r="F16" t="n">
        <v>2359</v>
      </c>
      <c r="G16" t="n">
        <v>1655</v>
      </c>
      <c r="H16" t="n">
        <v>1864</v>
      </c>
      <c r="I16" t="n">
        <v>1941</v>
      </c>
      <c r="J16" t="n">
        <v>1984</v>
      </c>
      <c r="K16" t="n">
        <v>2115</v>
      </c>
      <c r="L16" t="n">
        <v>710</v>
      </c>
      <c r="M16" t="n">
        <v>1535</v>
      </c>
      <c r="N16" t="n">
        <v>2383</v>
      </c>
      <c r="O16" t="n">
        <v>2197</v>
      </c>
      <c r="P16">
        <f>SUM(D16:O16)</f>
        <v/>
      </c>
      <c r="Q16" s="2">
        <f>AVERAGE(D16:O16)</f>
        <v/>
      </c>
      <c r="R16" s="3">
        <f>(O16-D16)/D16</f>
        <v/>
      </c>
    </row>
    <row r="17">
      <c r="A17" t="inlineStr">
        <is>
          <t>NMI-4117</t>
        </is>
      </c>
      <c r="B17" t="inlineStr">
        <is>
          <t>Campbelltown</t>
        </is>
      </c>
      <c r="C17" t="inlineStr">
        <is>
          <t>TOU</t>
        </is>
      </c>
      <c r="D17" t="n">
        <v>1415</v>
      </c>
      <c r="E17" t="n">
        <v>1417</v>
      </c>
      <c r="F17" t="n">
        <v>1407</v>
      </c>
      <c r="G17" t="n">
        <v>812</v>
      </c>
      <c r="H17" t="n">
        <v>1586</v>
      </c>
      <c r="I17" t="n">
        <v>1899</v>
      </c>
      <c r="J17" t="n">
        <v>1420</v>
      </c>
      <c r="K17" t="n">
        <v>727</v>
      </c>
      <c r="L17" t="n">
        <v>990</v>
      </c>
      <c r="M17" t="n">
        <v>737</v>
      </c>
      <c r="N17" t="n">
        <v>1027</v>
      </c>
      <c r="O17" t="n">
        <v>1502</v>
      </c>
      <c r="P17">
        <f>SUM(D17:O17)</f>
        <v/>
      </c>
      <c r="Q17" s="2">
        <f>AVERAGE(D17:O17)</f>
        <v/>
      </c>
      <c r="R17" s="3">
        <f>(O17-D17)/D17</f>
        <v/>
      </c>
    </row>
    <row r="18">
      <c r="A18" t="inlineStr">
        <is>
          <t>NMI-4118</t>
        </is>
      </c>
      <c r="B18" t="inlineStr">
        <is>
          <t>Blacktown</t>
        </is>
      </c>
      <c r="C18" t="inlineStr">
        <is>
          <t>Flat</t>
        </is>
      </c>
      <c r="D18" t="n">
        <v>1296</v>
      </c>
      <c r="E18" t="n">
        <v>1830</v>
      </c>
      <c r="F18" t="n">
        <v>707</v>
      </c>
      <c r="G18" t="n">
        <v>809</v>
      </c>
      <c r="H18" t="n">
        <v>600</v>
      </c>
      <c r="I18" t="n">
        <v>1760</v>
      </c>
      <c r="J18" t="n">
        <v>909</v>
      </c>
      <c r="K18" t="n">
        <v>1698</v>
      </c>
      <c r="L18" t="n">
        <v>807</v>
      </c>
      <c r="M18" t="n">
        <v>1344</v>
      </c>
      <c r="N18" t="n">
        <v>1856</v>
      </c>
      <c r="O18" t="n">
        <v>652</v>
      </c>
      <c r="P18">
        <f>SUM(D18:O18)</f>
        <v/>
      </c>
      <c r="Q18" s="2">
        <f>AVERAGE(D18:O18)</f>
        <v/>
      </c>
      <c r="R18" s="3">
        <f>(O18-D18)/D18</f>
        <v/>
      </c>
    </row>
    <row r="19">
      <c r="A19" t="inlineStr">
        <is>
          <t>NMI-4119</t>
        </is>
      </c>
      <c r="B19" t="inlineStr">
        <is>
          <t>Penrith</t>
        </is>
      </c>
      <c r="C19" t="inlineStr">
        <is>
          <t>Flat</t>
        </is>
      </c>
      <c r="D19" t="n">
        <v>1857</v>
      </c>
      <c r="E19" t="n">
        <v>1370</v>
      </c>
      <c r="F19" t="n">
        <v>904</v>
      </c>
      <c r="G19" t="n">
        <v>1899</v>
      </c>
      <c r="H19" t="n">
        <v>1116</v>
      </c>
      <c r="I19" t="n">
        <v>1311</v>
      </c>
      <c r="J19" t="n">
        <v>1833</v>
      </c>
      <c r="K19" t="n">
        <v>1345</v>
      </c>
      <c r="L19" t="n">
        <v>1571</v>
      </c>
      <c r="M19" t="n">
        <v>851</v>
      </c>
      <c r="N19" t="n">
        <v>836</v>
      </c>
      <c r="O19" t="n">
        <v>2338</v>
      </c>
      <c r="P19">
        <f>SUM(D19:O19)</f>
        <v/>
      </c>
      <c r="Q19" s="2">
        <f>AVERAGE(D19:O19)</f>
        <v/>
      </c>
      <c r="R19" s="3">
        <f>(O19-D19)/D19</f>
        <v/>
      </c>
    </row>
    <row r="20">
      <c r="A20" t="inlineStr">
        <is>
          <t>NMI-4120</t>
        </is>
      </c>
      <c r="B20" t="inlineStr">
        <is>
          <t>Liverpool</t>
        </is>
      </c>
      <c r="C20" t="inlineStr">
        <is>
          <t>TOU</t>
        </is>
      </c>
      <c r="D20" t="n">
        <v>1583</v>
      </c>
      <c r="E20" t="n">
        <v>1590</v>
      </c>
      <c r="F20" t="n">
        <v>1238</v>
      </c>
      <c r="G20" t="n">
        <v>775</v>
      </c>
      <c r="H20" t="n">
        <v>895</v>
      </c>
      <c r="I20" t="n">
        <v>809</v>
      </c>
      <c r="J20" t="n">
        <v>2135</v>
      </c>
      <c r="K20" t="n">
        <v>1301</v>
      </c>
      <c r="L20" t="n">
        <v>2116</v>
      </c>
      <c r="M20" t="n">
        <v>1142</v>
      </c>
      <c r="N20" t="n">
        <v>1580</v>
      </c>
      <c r="O20" t="n">
        <v>2297</v>
      </c>
      <c r="P20">
        <f>SUM(D20:O20)</f>
        <v/>
      </c>
      <c r="Q20" s="2">
        <f>AVERAGE(D20:O20)</f>
        <v/>
      </c>
      <c r="R20" s="3">
        <f>(O20-D20)/D20</f>
        <v/>
      </c>
    </row>
    <row r="21">
      <c r="A21" t="inlineStr">
        <is>
          <t>NMI-4121</t>
        </is>
      </c>
      <c r="B21" t="inlineStr">
        <is>
          <t>Blacktown</t>
        </is>
      </c>
      <c r="C21" t="inlineStr">
        <is>
          <t>Demand</t>
        </is>
      </c>
      <c r="D21" t="n">
        <v>647</v>
      </c>
      <c r="E21" t="n">
        <v>1020</v>
      </c>
      <c r="F21" t="n">
        <v>1681</v>
      </c>
      <c r="G21" t="n">
        <v>1340</v>
      </c>
      <c r="H21" t="n">
        <v>900</v>
      </c>
      <c r="I21" t="n">
        <v>2013</v>
      </c>
      <c r="J21" t="n">
        <v>1712</v>
      </c>
      <c r="K21" t="n">
        <v>655</v>
      </c>
      <c r="L21" t="n">
        <v>2152</v>
      </c>
      <c r="M21" t="n">
        <v>1681</v>
      </c>
      <c r="N21" t="n">
        <v>1210</v>
      </c>
      <c r="O21" t="n">
        <v>1916</v>
      </c>
      <c r="P21">
        <f>SUM(D21:O21)</f>
        <v/>
      </c>
      <c r="Q21" s="2">
        <f>AVERAGE(D21:O21)</f>
        <v/>
      </c>
      <c r="R21" s="3">
        <f>(O21-D21)/D21</f>
        <v/>
      </c>
    </row>
    <row r="22">
      <c r="A22" t="inlineStr">
        <is>
          <t>NMI-4122</t>
        </is>
      </c>
      <c r="B22" t="inlineStr">
        <is>
          <t>Penrith</t>
        </is>
      </c>
      <c r="C22" t="inlineStr">
        <is>
          <t>Demand</t>
        </is>
      </c>
      <c r="D22" t="n">
        <v>2331</v>
      </c>
      <c r="E22" t="n">
        <v>1134</v>
      </c>
      <c r="F22" t="n">
        <v>1661</v>
      </c>
      <c r="G22" t="n">
        <v>1351</v>
      </c>
      <c r="H22" t="n">
        <v>942</v>
      </c>
      <c r="I22" t="n">
        <v>1328</v>
      </c>
      <c r="J22" t="n">
        <v>2180</v>
      </c>
      <c r="K22" t="n">
        <v>1056</v>
      </c>
      <c r="L22" t="n">
        <v>1690</v>
      </c>
      <c r="M22" t="n">
        <v>1709</v>
      </c>
      <c r="N22" t="n">
        <v>2195</v>
      </c>
      <c r="O22" t="n">
        <v>1629</v>
      </c>
      <c r="P22">
        <f>SUM(D22:O22)</f>
        <v/>
      </c>
      <c r="Q22" s="2">
        <f>AVERAGE(D22:O22)</f>
        <v/>
      </c>
      <c r="R22" s="3">
        <f>(O22-D22)/D22</f>
        <v/>
      </c>
    </row>
    <row r="23">
      <c r="A23" t="inlineStr">
        <is>
          <t>NMI-4123</t>
        </is>
      </c>
      <c r="B23" t="inlineStr">
        <is>
          <t>Parramatta</t>
        </is>
      </c>
      <c r="C23" t="inlineStr">
        <is>
          <t>Demand</t>
        </is>
      </c>
      <c r="D23" t="n">
        <v>1056</v>
      </c>
      <c r="E23" t="n">
        <v>1855</v>
      </c>
      <c r="F23" t="n">
        <v>2261</v>
      </c>
      <c r="G23" t="n">
        <v>2214</v>
      </c>
      <c r="H23" t="n">
        <v>2153</v>
      </c>
      <c r="I23" t="n">
        <v>2346</v>
      </c>
      <c r="J23" t="n">
        <v>999</v>
      </c>
      <c r="K23" t="n">
        <v>2250</v>
      </c>
      <c r="L23" t="n">
        <v>1090</v>
      </c>
      <c r="M23" t="n">
        <v>2275</v>
      </c>
      <c r="N23" t="n">
        <v>1420</v>
      </c>
      <c r="O23" t="n">
        <v>2115</v>
      </c>
      <c r="P23">
        <f>SUM(D23:O23)</f>
        <v/>
      </c>
      <c r="Q23" s="2">
        <f>AVERAGE(D23:O23)</f>
        <v/>
      </c>
      <c r="R23" s="3">
        <f>(O23-D23)/D23</f>
        <v/>
      </c>
    </row>
    <row r="24">
      <c r="A24" t="inlineStr">
        <is>
          <t>NMI-4124</t>
        </is>
      </c>
      <c r="B24" t="inlineStr">
        <is>
          <t>Blacktown</t>
        </is>
      </c>
      <c r="C24" t="inlineStr">
        <is>
          <t>Flat</t>
        </is>
      </c>
      <c r="D24" t="n">
        <v>1660</v>
      </c>
      <c r="E24" t="n">
        <v>1609</v>
      </c>
      <c r="F24" t="n">
        <v>1328</v>
      </c>
      <c r="G24" t="n">
        <v>2097</v>
      </c>
      <c r="H24" t="n">
        <v>659</v>
      </c>
      <c r="I24" t="n">
        <v>657</v>
      </c>
      <c r="J24" t="n">
        <v>2218</v>
      </c>
      <c r="K24" t="n">
        <v>1172</v>
      </c>
      <c r="L24" t="n">
        <v>1567</v>
      </c>
      <c r="M24" t="n">
        <v>1130</v>
      </c>
      <c r="N24" t="n">
        <v>996</v>
      </c>
      <c r="O24" t="n">
        <v>2018</v>
      </c>
      <c r="P24">
        <f>SUM(D24:O24)</f>
        <v/>
      </c>
      <c r="Q24" s="2">
        <f>AVERAGE(D24:O24)</f>
        <v/>
      </c>
      <c r="R24" s="3">
        <f>(O24-D24)/D24</f>
        <v/>
      </c>
    </row>
    <row r="25">
      <c r="A25" t="inlineStr">
        <is>
          <t>NMI-4125</t>
        </is>
      </c>
      <c r="B25" t="inlineStr">
        <is>
          <t>Campbelltown</t>
        </is>
      </c>
      <c r="C25" t="inlineStr">
        <is>
          <t>TOU</t>
        </is>
      </c>
      <c r="D25" t="n">
        <v>1515</v>
      </c>
      <c r="E25" t="n">
        <v>2255</v>
      </c>
      <c r="F25" t="n">
        <v>2080</v>
      </c>
      <c r="G25" t="n">
        <v>1315</v>
      </c>
      <c r="H25" t="n">
        <v>1346</v>
      </c>
      <c r="I25" t="n">
        <v>764</v>
      </c>
      <c r="J25" t="n">
        <v>1051</v>
      </c>
      <c r="K25" t="n">
        <v>809</v>
      </c>
      <c r="L25" t="n">
        <v>1064</v>
      </c>
      <c r="M25" t="n">
        <v>1562</v>
      </c>
      <c r="N25" t="n">
        <v>1002</v>
      </c>
      <c r="O25" t="n">
        <v>1291</v>
      </c>
      <c r="P25">
        <f>SUM(D25:O25)</f>
        <v/>
      </c>
      <c r="Q25" s="2">
        <f>AVERAGE(D25:O25)</f>
        <v/>
      </c>
      <c r="R25" s="3">
        <f>(O25-D25)/D25</f>
        <v/>
      </c>
    </row>
    <row r="26">
      <c r="A26" t="inlineStr">
        <is>
          <t>NMI-4126</t>
        </is>
      </c>
      <c r="B26" t="inlineStr">
        <is>
          <t>Blacktown</t>
        </is>
      </c>
      <c r="C26" t="inlineStr">
        <is>
          <t>TOU</t>
        </is>
      </c>
      <c r="D26" t="n">
        <v>1878</v>
      </c>
      <c r="E26" t="n">
        <v>1849</v>
      </c>
      <c r="F26" t="n">
        <v>2321</v>
      </c>
      <c r="G26" t="n">
        <v>603</v>
      </c>
      <c r="H26" t="n">
        <v>1581</v>
      </c>
      <c r="I26" t="n">
        <v>1937</v>
      </c>
      <c r="J26" t="n">
        <v>1304</v>
      </c>
      <c r="K26" t="n">
        <v>2237</v>
      </c>
      <c r="L26" t="n">
        <v>1917</v>
      </c>
      <c r="M26" t="n">
        <v>773</v>
      </c>
      <c r="N26" t="n">
        <v>2309</v>
      </c>
      <c r="O26" t="n">
        <v>1952</v>
      </c>
      <c r="P26">
        <f>SUM(D26:O26)</f>
        <v/>
      </c>
      <c r="Q26" s="2">
        <f>AVERAGE(D26:O26)</f>
        <v/>
      </c>
      <c r="R26" s="3">
        <f>(O26-D26)/D26</f>
        <v/>
      </c>
    </row>
    <row r="27">
      <c r="A27" t="inlineStr">
        <is>
          <t>NMI-4127</t>
        </is>
      </c>
      <c r="B27" t="inlineStr">
        <is>
          <t>Penrith</t>
        </is>
      </c>
      <c r="C27" t="inlineStr">
        <is>
          <t>TOU</t>
        </is>
      </c>
      <c r="D27" t="n">
        <v>2202</v>
      </c>
      <c r="E27" t="n">
        <v>2057</v>
      </c>
      <c r="F27" t="n">
        <v>2136</v>
      </c>
      <c r="G27" t="n">
        <v>1008</v>
      </c>
      <c r="H27" t="n">
        <v>1579</v>
      </c>
      <c r="I27" t="n">
        <v>965</v>
      </c>
      <c r="J27" t="n">
        <v>1488</v>
      </c>
      <c r="K27" t="n">
        <v>2216</v>
      </c>
      <c r="L27" t="n">
        <v>1902</v>
      </c>
      <c r="M27" t="n">
        <v>1280</v>
      </c>
      <c r="N27" t="n">
        <v>777</v>
      </c>
      <c r="O27" t="n">
        <v>2240</v>
      </c>
      <c r="P27">
        <f>SUM(D27:O27)</f>
        <v/>
      </c>
      <c r="Q27" s="2">
        <f>AVERAGE(D27:O27)</f>
        <v/>
      </c>
      <c r="R27" s="3">
        <f>(O27-D27)/D27</f>
        <v/>
      </c>
    </row>
    <row r="28">
      <c r="A28" t="inlineStr">
        <is>
          <t>NMI-4128</t>
        </is>
      </c>
      <c r="B28" t="inlineStr">
        <is>
          <t>Liverpool</t>
        </is>
      </c>
      <c r="C28" t="inlineStr">
        <is>
          <t>TOU</t>
        </is>
      </c>
      <c r="D28" t="n">
        <v>1422</v>
      </c>
      <c r="E28" t="n">
        <v>2122</v>
      </c>
      <c r="F28" t="n">
        <v>773</v>
      </c>
      <c r="G28" t="n">
        <v>2084</v>
      </c>
      <c r="H28" t="n">
        <v>925</v>
      </c>
      <c r="I28" t="n">
        <v>948</v>
      </c>
      <c r="J28" t="n">
        <v>860</v>
      </c>
      <c r="K28" t="n">
        <v>656</v>
      </c>
      <c r="L28" t="n">
        <v>909</v>
      </c>
      <c r="M28" t="n">
        <v>1809</v>
      </c>
      <c r="N28" t="n">
        <v>1553</v>
      </c>
      <c r="O28" t="n">
        <v>2251</v>
      </c>
      <c r="P28">
        <f>SUM(D28:O28)</f>
        <v/>
      </c>
      <c r="Q28" s="2">
        <f>AVERAGE(D28:O28)</f>
        <v/>
      </c>
      <c r="R28" s="3">
        <f>(O28-D28)/D28</f>
        <v/>
      </c>
    </row>
    <row r="29">
      <c r="A29" t="inlineStr">
        <is>
          <t>NMI-4129</t>
        </is>
      </c>
      <c r="B29" t="inlineStr">
        <is>
          <t>Blacktown</t>
        </is>
      </c>
      <c r="C29" t="inlineStr">
        <is>
          <t>Demand</t>
        </is>
      </c>
      <c r="D29" t="n">
        <v>2292</v>
      </c>
      <c r="E29" t="n">
        <v>1820</v>
      </c>
      <c r="F29" t="n">
        <v>1571</v>
      </c>
      <c r="G29" t="n">
        <v>1946</v>
      </c>
      <c r="H29" t="n">
        <v>1317</v>
      </c>
      <c r="I29" t="n">
        <v>919</v>
      </c>
      <c r="J29" t="n">
        <v>1723</v>
      </c>
      <c r="K29" t="n">
        <v>1722</v>
      </c>
      <c r="L29" t="n">
        <v>868</v>
      </c>
      <c r="M29" t="n">
        <v>643</v>
      </c>
      <c r="N29" t="n">
        <v>629</v>
      </c>
      <c r="O29" t="n">
        <v>2237</v>
      </c>
      <c r="P29">
        <f>SUM(D29:O29)</f>
        <v/>
      </c>
      <c r="Q29" s="2">
        <f>AVERAGE(D29:O29)</f>
        <v/>
      </c>
      <c r="R29" s="3">
        <f>(O29-D29)/D29</f>
        <v/>
      </c>
    </row>
    <row r="30">
      <c r="A30" t="inlineStr">
        <is>
          <t>NMI-4130</t>
        </is>
      </c>
      <c r="B30" t="inlineStr">
        <is>
          <t>Penrith</t>
        </is>
      </c>
      <c r="C30" t="inlineStr">
        <is>
          <t>Demand</t>
        </is>
      </c>
      <c r="D30" t="n">
        <v>2134</v>
      </c>
      <c r="E30" t="n">
        <v>885</v>
      </c>
      <c r="F30" t="n">
        <v>1488</v>
      </c>
      <c r="G30" t="n">
        <v>2385</v>
      </c>
      <c r="H30" t="n">
        <v>998</v>
      </c>
      <c r="I30" t="n">
        <v>2291</v>
      </c>
      <c r="J30" t="n">
        <v>2389</v>
      </c>
      <c r="K30" t="n">
        <v>1032</v>
      </c>
      <c r="L30" t="n">
        <v>657</v>
      </c>
      <c r="M30" t="n">
        <v>1115</v>
      </c>
      <c r="N30" t="n">
        <v>1035</v>
      </c>
      <c r="O30" t="n">
        <v>1199</v>
      </c>
      <c r="P30">
        <f>SUM(D30:O30)</f>
        <v/>
      </c>
      <c r="Q30" s="2">
        <f>AVERAGE(D30:O30)</f>
        <v/>
      </c>
      <c r="R30" s="3">
        <f>(O30-D30)/D30</f>
        <v/>
      </c>
    </row>
    <row r="31">
      <c r="A31" t="inlineStr">
        <is>
          <t>NMI-4131</t>
        </is>
      </c>
      <c r="B31" t="inlineStr">
        <is>
          <t>Campbelltown</t>
        </is>
      </c>
      <c r="C31" t="inlineStr">
        <is>
          <t>Flat</t>
        </is>
      </c>
      <c r="D31" t="n">
        <v>2164</v>
      </c>
      <c r="E31" t="n">
        <v>1801</v>
      </c>
      <c r="F31" t="n">
        <v>1267</v>
      </c>
      <c r="G31" t="n">
        <v>1131</v>
      </c>
      <c r="H31" t="n">
        <v>1714</v>
      </c>
      <c r="I31" t="n">
        <v>1458</v>
      </c>
      <c r="J31" t="n">
        <v>2308</v>
      </c>
      <c r="K31" t="n">
        <v>868</v>
      </c>
      <c r="L31" t="n">
        <v>724</v>
      </c>
      <c r="M31" t="n">
        <v>2115</v>
      </c>
      <c r="N31" t="n">
        <v>1324</v>
      </c>
      <c r="O31" t="n">
        <v>1538</v>
      </c>
      <c r="P31">
        <f>SUM(D31:O31)</f>
        <v/>
      </c>
      <c r="Q31" s="2">
        <f>AVERAGE(D31:O31)</f>
        <v/>
      </c>
      <c r="R31" s="3">
        <f>(O31-D31)/D31</f>
        <v/>
      </c>
    </row>
    <row r="32">
      <c r="A32" t="inlineStr">
        <is>
          <t>NMI-4132</t>
        </is>
      </c>
      <c r="B32" t="inlineStr">
        <is>
          <t>Campbelltown</t>
        </is>
      </c>
      <c r="C32" t="inlineStr">
        <is>
          <t>Demand</t>
        </is>
      </c>
      <c r="D32" t="n">
        <v>1461</v>
      </c>
      <c r="E32" t="n">
        <v>2293</v>
      </c>
      <c r="F32" t="n">
        <v>2398</v>
      </c>
      <c r="G32" t="n">
        <v>1627</v>
      </c>
      <c r="H32" t="n">
        <v>867</v>
      </c>
      <c r="I32" t="n">
        <v>1689</v>
      </c>
      <c r="J32" t="n">
        <v>910</v>
      </c>
      <c r="K32" t="n">
        <v>1672</v>
      </c>
      <c r="L32" t="n">
        <v>1645</v>
      </c>
      <c r="M32" t="n">
        <v>638</v>
      </c>
      <c r="N32" t="n">
        <v>2387</v>
      </c>
      <c r="O32" t="n">
        <v>1501</v>
      </c>
      <c r="P32">
        <f>SUM(D32:O32)</f>
        <v/>
      </c>
      <c r="Q32" s="2">
        <f>AVERAGE(D32:O32)</f>
        <v/>
      </c>
      <c r="R32" s="3">
        <f>(O32-D32)/D32</f>
        <v/>
      </c>
    </row>
    <row r="33">
      <c r="A33" t="inlineStr">
        <is>
          <t>NMI-4133</t>
        </is>
      </c>
      <c r="B33" t="inlineStr">
        <is>
          <t>Blacktown</t>
        </is>
      </c>
      <c r="C33" t="inlineStr">
        <is>
          <t>Demand</t>
        </is>
      </c>
      <c r="D33" t="n">
        <v>608</v>
      </c>
      <c r="E33" t="n">
        <v>2189</v>
      </c>
      <c r="F33" t="n">
        <v>2236</v>
      </c>
      <c r="G33" t="n">
        <v>906</v>
      </c>
      <c r="H33" t="n">
        <v>952</v>
      </c>
      <c r="I33" t="n">
        <v>889</v>
      </c>
      <c r="J33" t="n">
        <v>1569</v>
      </c>
      <c r="K33" t="n">
        <v>1867</v>
      </c>
      <c r="L33" t="n">
        <v>2085</v>
      </c>
      <c r="M33" t="n">
        <v>846</v>
      </c>
      <c r="N33" t="n">
        <v>1739</v>
      </c>
      <c r="O33" t="n">
        <v>726</v>
      </c>
      <c r="P33">
        <f>SUM(D33:O33)</f>
        <v/>
      </c>
      <c r="Q33" s="2">
        <f>AVERAGE(D33:O33)</f>
        <v/>
      </c>
      <c r="R33" s="3">
        <f>(O33-D33)/D33</f>
        <v/>
      </c>
    </row>
    <row r="34">
      <c r="A34" t="inlineStr">
        <is>
          <t>NMI-4134</t>
        </is>
      </c>
      <c r="B34" t="inlineStr">
        <is>
          <t>Parramatta</t>
        </is>
      </c>
      <c r="C34" t="inlineStr">
        <is>
          <t>Demand</t>
        </is>
      </c>
      <c r="D34" t="n">
        <v>1661</v>
      </c>
      <c r="E34" t="n">
        <v>1686</v>
      </c>
      <c r="F34" t="n">
        <v>1737</v>
      </c>
      <c r="G34" t="n">
        <v>1588</v>
      </c>
      <c r="H34" t="n">
        <v>2206</v>
      </c>
      <c r="I34" t="n">
        <v>2190</v>
      </c>
      <c r="J34" t="n">
        <v>817</v>
      </c>
      <c r="K34" t="n">
        <v>1747</v>
      </c>
      <c r="L34" t="n">
        <v>716</v>
      </c>
      <c r="M34" t="n">
        <v>1108</v>
      </c>
      <c r="N34" t="n">
        <v>991</v>
      </c>
      <c r="O34" t="n">
        <v>1167</v>
      </c>
      <c r="P34">
        <f>SUM(D34:O34)</f>
        <v/>
      </c>
      <c r="Q34" s="2">
        <f>AVERAGE(D34:O34)</f>
        <v/>
      </c>
      <c r="R34" s="3">
        <f>(O34-D34)/D34</f>
        <v/>
      </c>
    </row>
    <row r="35">
      <c r="A35" t="inlineStr">
        <is>
          <t>NMI-4135</t>
        </is>
      </c>
      <c r="B35" t="inlineStr">
        <is>
          <t>Penrith</t>
        </is>
      </c>
      <c r="C35" t="inlineStr">
        <is>
          <t>Flat</t>
        </is>
      </c>
      <c r="D35" t="n">
        <v>1639</v>
      </c>
      <c r="E35" t="n">
        <v>1526</v>
      </c>
      <c r="F35" t="n">
        <v>1750</v>
      </c>
      <c r="G35" t="n">
        <v>657</v>
      </c>
      <c r="H35" t="n">
        <v>2156</v>
      </c>
      <c r="I35" t="n">
        <v>729</v>
      </c>
      <c r="J35" t="n">
        <v>1507</v>
      </c>
      <c r="K35" t="n">
        <v>1266</v>
      </c>
      <c r="L35" t="n">
        <v>1854</v>
      </c>
      <c r="M35" t="n">
        <v>1635</v>
      </c>
      <c r="N35" t="n">
        <v>1841</v>
      </c>
      <c r="O35" t="n">
        <v>1648</v>
      </c>
      <c r="P35">
        <f>SUM(D35:O35)</f>
        <v/>
      </c>
      <c r="Q35" s="2">
        <f>AVERAGE(D35:O35)</f>
        <v/>
      </c>
      <c r="R35" s="3">
        <f>(O35-D35)/D35</f>
        <v/>
      </c>
    </row>
    <row r="36">
      <c r="A36" t="inlineStr">
        <is>
          <t>NMI-4136</t>
        </is>
      </c>
      <c r="B36" t="inlineStr">
        <is>
          <t>Blacktown</t>
        </is>
      </c>
      <c r="C36" t="inlineStr">
        <is>
          <t>Demand</t>
        </is>
      </c>
      <c r="D36" t="n">
        <v>1167</v>
      </c>
      <c r="E36" t="n">
        <v>1526</v>
      </c>
      <c r="F36" t="n">
        <v>1640</v>
      </c>
      <c r="G36" t="n">
        <v>1692</v>
      </c>
      <c r="H36" t="n">
        <v>2253</v>
      </c>
      <c r="I36" t="n">
        <v>1579</v>
      </c>
      <c r="J36" t="n">
        <v>1639</v>
      </c>
      <c r="K36" t="n">
        <v>1107</v>
      </c>
      <c r="L36" t="n">
        <v>2031</v>
      </c>
      <c r="M36" t="n">
        <v>1671</v>
      </c>
      <c r="N36" t="n">
        <v>2395</v>
      </c>
      <c r="O36" t="n">
        <v>2394</v>
      </c>
      <c r="P36">
        <f>SUM(D36:O36)</f>
        <v/>
      </c>
      <c r="Q36" s="2">
        <f>AVERAGE(D36:O36)</f>
        <v/>
      </c>
      <c r="R36" s="3">
        <f>(O36-D36)/D36</f>
        <v/>
      </c>
    </row>
    <row r="37">
      <c r="A37" t="inlineStr">
        <is>
          <t>NMI-4137</t>
        </is>
      </c>
      <c r="B37" t="inlineStr">
        <is>
          <t>Parramatta</t>
        </is>
      </c>
      <c r="C37" t="inlineStr">
        <is>
          <t>Demand</t>
        </is>
      </c>
      <c r="D37" t="n">
        <v>1014</v>
      </c>
      <c r="E37" t="n">
        <v>2320</v>
      </c>
      <c r="F37" t="n">
        <v>1516</v>
      </c>
      <c r="G37" t="n">
        <v>880</v>
      </c>
      <c r="H37" t="n">
        <v>1453</v>
      </c>
      <c r="I37" t="n">
        <v>849</v>
      </c>
      <c r="J37" t="n">
        <v>1403</v>
      </c>
      <c r="K37" t="n">
        <v>1505</v>
      </c>
      <c r="L37" t="n">
        <v>1247</v>
      </c>
      <c r="M37" t="n">
        <v>748</v>
      </c>
      <c r="N37" t="n">
        <v>1974</v>
      </c>
      <c r="O37" t="n">
        <v>1092</v>
      </c>
      <c r="P37">
        <f>SUM(D37:O37)</f>
        <v/>
      </c>
      <c r="Q37" s="2">
        <f>AVERAGE(D37:O37)</f>
        <v/>
      </c>
      <c r="R37" s="3">
        <f>(O37-D37)/D37</f>
        <v/>
      </c>
    </row>
    <row r="38">
      <c r="A38" t="inlineStr">
        <is>
          <t>NMI-4138</t>
        </is>
      </c>
      <c r="B38" t="inlineStr">
        <is>
          <t>Liverpool</t>
        </is>
      </c>
      <c r="C38" t="inlineStr">
        <is>
          <t>Flat</t>
        </is>
      </c>
      <c r="D38" t="n">
        <v>1035</v>
      </c>
      <c r="E38" t="n">
        <v>1971</v>
      </c>
      <c r="F38" t="n">
        <v>1220</v>
      </c>
      <c r="G38" t="n">
        <v>2205</v>
      </c>
      <c r="H38" t="n">
        <v>850</v>
      </c>
      <c r="I38" t="n">
        <v>2191</v>
      </c>
      <c r="J38" t="n">
        <v>916</v>
      </c>
      <c r="K38" t="n">
        <v>2066</v>
      </c>
      <c r="L38" t="n">
        <v>1917</v>
      </c>
      <c r="M38" t="n">
        <v>1952</v>
      </c>
      <c r="N38" t="n">
        <v>1349</v>
      </c>
      <c r="O38" t="n">
        <v>892</v>
      </c>
      <c r="P38">
        <f>SUM(D38:O38)</f>
        <v/>
      </c>
      <c r="Q38" s="2">
        <f>AVERAGE(D38:O38)</f>
        <v/>
      </c>
      <c r="R38" s="3">
        <f>(O38-D38)/D38</f>
        <v/>
      </c>
    </row>
    <row r="39">
      <c r="A39" t="inlineStr">
        <is>
          <t>NMI-4139</t>
        </is>
      </c>
      <c r="B39" t="inlineStr">
        <is>
          <t>Parramatta</t>
        </is>
      </c>
      <c r="C39" t="inlineStr">
        <is>
          <t>Flat</t>
        </is>
      </c>
      <c r="D39" t="n">
        <v>1557</v>
      </c>
      <c r="E39" t="n">
        <v>1049</v>
      </c>
      <c r="F39" t="n">
        <v>2129</v>
      </c>
      <c r="G39" t="n">
        <v>792</v>
      </c>
      <c r="H39" t="n">
        <v>1415</v>
      </c>
      <c r="I39" t="n">
        <v>1597</v>
      </c>
      <c r="J39" t="n">
        <v>933</v>
      </c>
      <c r="K39" t="n">
        <v>1967</v>
      </c>
      <c r="L39" t="n">
        <v>2304</v>
      </c>
      <c r="M39" t="n">
        <v>1058</v>
      </c>
      <c r="N39" t="n">
        <v>930</v>
      </c>
      <c r="O39" t="n">
        <v>2046</v>
      </c>
      <c r="P39">
        <f>SUM(D39:O39)</f>
        <v/>
      </c>
      <c r="Q39" s="2">
        <f>AVERAGE(D39:O39)</f>
        <v/>
      </c>
      <c r="R39" s="3">
        <f>(O39-D39)/D39</f>
        <v/>
      </c>
    </row>
    <row r="40">
      <c r="A40" t="inlineStr">
        <is>
          <t>NMI-4140</t>
        </is>
      </c>
      <c r="B40" t="inlineStr">
        <is>
          <t>Liverpool</t>
        </is>
      </c>
      <c r="C40" t="inlineStr">
        <is>
          <t>Demand</t>
        </is>
      </c>
      <c r="D40" t="n">
        <v>1427</v>
      </c>
      <c r="E40" t="n">
        <v>1294</v>
      </c>
      <c r="F40" t="n">
        <v>1462</v>
      </c>
      <c r="G40" t="n">
        <v>1000</v>
      </c>
      <c r="H40" t="n">
        <v>1330</v>
      </c>
      <c r="I40" t="n">
        <v>1252</v>
      </c>
      <c r="J40" t="n">
        <v>788</v>
      </c>
      <c r="K40" t="n">
        <v>2078</v>
      </c>
      <c r="L40" t="n">
        <v>1349</v>
      </c>
      <c r="M40" t="n">
        <v>639</v>
      </c>
      <c r="N40" t="n">
        <v>1292</v>
      </c>
      <c r="O40" t="n">
        <v>1734</v>
      </c>
      <c r="P40">
        <f>SUM(D40:O40)</f>
        <v/>
      </c>
      <c r="Q40" s="2">
        <f>AVERAGE(D40:O40)</f>
        <v/>
      </c>
      <c r="R40" s="3">
        <f>(O40-D40)/D40</f>
        <v/>
      </c>
    </row>
    <row r="41">
      <c r="A41" t="inlineStr">
        <is>
          <t>NMI-4141</t>
        </is>
      </c>
      <c r="B41" t="inlineStr">
        <is>
          <t>Liverpool</t>
        </is>
      </c>
      <c r="C41" t="inlineStr">
        <is>
          <t>TOU</t>
        </is>
      </c>
      <c r="D41" t="n">
        <v>2040</v>
      </c>
      <c r="E41" t="n">
        <v>637</v>
      </c>
      <c r="F41" t="n">
        <v>1387</v>
      </c>
      <c r="G41" t="n">
        <v>1278</v>
      </c>
      <c r="H41" t="n">
        <v>1659</v>
      </c>
      <c r="I41" t="n">
        <v>1877</v>
      </c>
      <c r="J41" t="n">
        <v>1205</v>
      </c>
      <c r="K41" t="n">
        <v>1649</v>
      </c>
      <c r="L41" t="n">
        <v>731</v>
      </c>
      <c r="M41" t="n">
        <v>831</v>
      </c>
      <c r="N41" t="n">
        <v>2214</v>
      </c>
      <c r="O41" t="n">
        <v>1068</v>
      </c>
      <c r="P41">
        <f>SUM(D41:O41)</f>
        <v/>
      </c>
      <c r="Q41" s="2">
        <f>AVERAGE(D41:O41)</f>
        <v/>
      </c>
      <c r="R41" s="3">
        <f>(O41-D41)/D41</f>
        <v/>
      </c>
    </row>
    <row r="42">
      <c r="A42" t="inlineStr">
        <is>
          <t>NMI-4142</t>
        </is>
      </c>
      <c r="B42" t="inlineStr">
        <is>
          <t>Penrith</t>
        </is>
      </c>
      <c r="C42" t="inlineStr">
        <is>
          <t>Flat</t>
        </is>
      </c>
      <c r="D42" t="n">
        <v>1143</v>
      </c>
      <c r="E42" t="n">
        <v>1156</v>
      </c>
      <c r="F42" t="n">
        <v>681</v>
      </c>
      <c r="G42" t="n">
        <v>2195</v>
      </c>
      <c r="H42" t="n">
        <v>971</v>
      </c>
      <c r="I42" t="n">
        <v>1153</v>
      </c>
      <c r="J42" t="n">
        <v>2147</v>
      </c>
      <c r="K42" t="n">
        <v>865</v>
      </c>
      <c r="L42" t="n">
        <v>2278</v>
      </c>
      <c r="M42" t="n">
        <v>1464</v>
      </c>
      <c r="N42" t="n">
        <v>2339</v>
      </c>
      <c r="O42" t="n">
        <v>1984</v>
      </c>
      <c r="P42">
        <f>SUM(D42:O42)</f>
        <v/>
      </c>
      <c r="Q42" s="2">
        <f>AVERAGE(D42:O42)</f>
        <v/>
      </c>
      <c r="R42" s="3">
        <f>(O42-D42)/D42</f>
        <v/>
      </c>
    </row>
    <row r="43">
      <c r="A43" t="inlineStr">
        <is>
          <t>NMI-4143</t>
        </is>
      </c>
      <c r="B43" t="inlineStr">
        <is>
          <t>Parramatta</t>
        </is>
      </c>
      <c r="C43" t="inlineStr">
        <is>
          <t>TOU</t>
        </is>
      </c>
      <c r="D43" t="n">
        <v>905</v>
      </c>
      <c r="E43" t="n">
        <v>1698</v>
      </c>
      <c r="F43" t="n">
        <v>1654</v>
      </c>
      <c r="G43" t="n">
        <v>1768</v>
      </c>
      <c r="H43" t="n">
        <v>1612</v>
      </c>
      <c r="I43" t="n">
        <v>2034</v>
      </c>
      <c r="J43" t="n">
        <v>1269</v>
      </c>
      <c r="K43" t="n">
        <v>783</v>
      </c>
      <c r="L43" t="n">
        <v>1171</v>
      </c>
      <c r="M43" t="n">
        <v>717</v>
      </c>
      <c r="N43" t="n">
        <v>2237</v>
      </c>
      <c r="O43" t="n">
        <v>2009</v>
      </c>
      <c r="P43">
        <f>SUM(D43:O43)</f>
        <v/>
      </c>
      <c r="Q43" s="2">
        <f>AVERAGE(D43:O43)</f>
        <v/>
      </c>
      <c r="R43" s="3">
        <f>(O43-D43)/D43</f>
        <v/>
      </c>
    </row>
    <row r="44">
      <c r="A44" t="inlineStr">
        <is>
          <t>NMI-4144</t>
        </is>
      </c>
      <c r="B44" t="inlineStr">
        <is>
          <t>Blacktown</t>
        </is>
      </c>
      <c r="C44" t="inlineStr">
        <is>
          <t>TOU</t>
        </is>
      </c>
      <c r="D44" t="n">
        <v>748</v>
      </c>
      <c r="E44" t="n">
        <v>1150</v>
      </c>
      <c r="F44" t="n">
        <v>634</v>
      </c>
      <c r="G44" t="n">
        <v>1899</v>
      </c>
      <c r="H44" t="n">
        <v>781</v>
      </c>
      <c r="I44" t="n">
        <v>2241</v>
      </c>
      <c r="J44" t="n">
        <v>1133</v>
      </c>
      <c r="K44" t="n">
        <v>771</v>
      </c>
      <c r="L44" t="n">
        <v>1845</v>
      </c>
      <c r="M44" t="n">
        <v>2353</v>
      </c>
      <c r="N44" t="n">
        <v>1055</v>
      </c>
      <c r="O44" t="n">
        <v>736</v>
      </c>
      <c r="P44">
        <f>SUM(D44:O44)</f>
        <v/>
      </c>
      <c r="Q44" s="2">
        <f>AVERAGE(D44:O44)</f>
        <v/>
      </c>
      <c r="R44" s="3">
        <f>(O44-D44)/D44</f>
        <v/>
      </c>
    </row>
    <row r="45">
      <c r="A45" t="inlineStr">
        <is>
          <t>NMI-4145</t>
        </is>
      </c>
      <c r="B45" t="inlineStr">
        <is>
          <t>Parramatta</t>
        </is>
      </c>
      <c r="C45" t="inlineStr">
        <is>
          <t>Flat</t>
        </is>
      </c>
      <c r="D45" t="n">
        <v>1529</v>
      </c>
      <c r="E45" t="n">
        <v>623</v>
      </c>
      <c r="F45" t="n">
        <v>1294</v>
      </c>
      <c r="G45" t="n">
        <v>1732</v>
      </c>
      <c r="H45" t="n">
        <v>1455</v>
      </c>
      <c r="I45" t="n">
        <v>1148</v>
      </c>
      <c r="J45" t="n">
        <v>1873</v>
      </c>
      <c r="K45" t="n">
        <v>864</v>
      </c>
      <c r="L45" t="n">
        <v>688</v>
      </c>
      <c r="M45" t="n">
        <v>1679</v>
      </c>
      <c r="N45" t="n">
        <v>2053</v>
      </c>
      <c r="O45" t="n">
        <v>1088</v>
      </c>
      <c r="P45">
        <f>SUM(D45:O45)</f>
        <v/>
      </c>
      <c r="Q45" s="2">
        <f>AVERAGE(D45:O45)</f>
        <v/>
      </c>
      <c r="R45" s="3">
        <f>(O45-D45)/D45</f>
        <v/>
      </c>
    </row>
    <row r="46">
      <c r="A46" t="inlineStr">
        <is>
          <t>NMI-4146</t>
        </is>
      </c>
      <c r="B46" t="inlineStr">
        <is>
          <t>Penrith</t>
        </is>
      </c>
      <c r="C46" t="inlineStr">
        <is>
          <t>Flat</t>
        </is>
      </c>
      <c r="D46" t="n">
        <v>1136</v>
      </c>
      <c r="E46" t="n">
        <v>703</v>
      </c>
      <c r="F46" t="n">
        <v>970</v>
      </c>
      <c r="G46" t="n">
        <v>1013</v>
      </c>
      <c r="H46" t="n">
        <v>1238</v>
      </c>
      <c r="I46" t="n">
        <v>1887</v>
      </c>
      <c r="J46" t="n">
        <v>1224</v>
      </c>
      <c r="K46" t="n">
        <v>1687</v>
      </c>
      <c r="L46" t="n">
        <v>2155</v>
      </c>
      <c r="M46" t="n">
        <v>1021</v>
      </c>
      <c r="N46" t="n">
        <v>1193</v>
      </c>
      <c r="O46" t="n">
        <v>1512</v>
      </c>
      <c r="P46">
        <f>SUM(D46:O46)</f>
        <v/>
      </c>
      <c r="Q46" s="2">
        <f>AVERAGE(D46:O46)</f>
        <v/>
      </c>
      <c r="R46" s="3">
        <f>(O46-D46)/D46</f>
        <v/>
      </c>
    </row>
    <row r="47">
      <c r="A47" t="inlineStr">
        <is>
          <t>NMI-4147</t>
        </is>
      </c>
      <c r="B47" t="inlineStr">
        <is>
          <t>Campbelltown</t>
        </is>
      </c>
      <c r="C47" t="inlineStr">
        <is>
          <t>Demand</t>
        </is>
      </c>
      <c r="D47" t="n">
        <v>964</v>
      </c>
      <c r="E47" t="n">
        <v>1154</v>
      </c>
      <c r="F47" t="n">
        <v>1310</v>
      </c>
      <c r="G47" t="n">
        <v>2245</v>
      </c>
      <c r="H47" t="n">
        <v>637</v>
      </c>
      <c r="I47" t="n">
        <v>1112</v>
      </c>
      <c r="J47" t="n">
        <v>675</v>
      </c>
      <c r="K47" t="n">
        <v>631</v>
      </c>
      <c r="L47" t="n">
        <v>637</v>
      </c>
      <c r="M47" t="n">
        <v>2101</v>
      </c>
      <c r="N47" t="n">
        <v>1635</v>
      </c>
      <c r="O47" t="n">
        <v>1728</v>
      </c>
      <c r="P47">
        <f>SUM(D47:O47)</f>
        <v/>
      </c>
      <c r="Q47" s="2">
        <f>AVERAGE(D47:O47)</f>
        <v/>
      </c>
      <c r="R47" s="3">
        <f>(O47-D47)/D47</f>
        <v/>
      </c>
    </row>
    <row r="48">
      <c r="A48" t="inlineStr">
        <is>
          <t>NMI-4148</t>
        </is>
      </c>
      <c r="B48" t="inlineStr">
        <is>
          <t>Blacktown</t>
        </is>
      </c>
      <c r="C48" t="inlineStr">
        <is>
          <t>Demand</t>
        </is>
      </c>
      <c r="D48" t="n">
        <v>1572</v>
      </c>
      <c r="E48" t="n">
        <v>1103</v>
      </c>
      <c r="F48" t="n">
        <v>1515</v>
      </c>
      <c r="G48" t="n">
        <v>817</v>
      </c>
      <c r="H48" t="n">
        <v>1948</v>
      </c>
      <c r="I48" t="n">
        <v>2277</v>
      </c>
      <c r="J48" t="n">
        <v>1931</v>
      </c>
      <c r="K48" t="n">
        <v>1485</v>
      </c>
      <c r="L48" t="n">
        <v>1944</v>
      </c>
      <c r="M48" t="n">
        <v>1613</v>
      </c>
      <c r="N48" t="n">
        <v>1718</v>
      </c>
      <c r="O48" t="n">
        <v>2309</v>
      </c>
      <c r="P48">
        <f>SUM(D48:O48)</f>
        <v/>
      </c>
      <c r="Q48" s="2">
        <f>AVERAGE(D48:O48)</f>
        <v/>
      </c>
      <c r="R48" s="3">
        <f>(O48-D48)/D48</f>
        <v/>
      </c>
    </row>
    <row r="49">
      <c r="A49" t="inlineStr">
        <is>
          <t>NMI-4149</t>
        </is>
      </c>
      <c r="B49" t="inlineStr">
        <is>
          <t>Liverpool</t>
        </is>
      </c>
      <c r="C49" t="inlineStr">
        <is>
          <t>Demand</t>
        </is>
      </c>
      <c r="D49" t="n">
        <v>1230</v>
      </c>
      <c r="E49" t="n">
        <v>2008</v>
      </c>
      <c r="F49" t="n">
        <v>1040</v>
      </c>
      <c r="G49" t="n">
        <v>1070</v>
      </c>
      <c r="H49" t="n">
        <v>1301</v>
      </c>
      <c r="I49" t="n">
        <v>1006</v>
      </c>
      <c r="J49" t="n">
        <v>2304</v>
      </c>
      <c r="K49" t="n">
        <v>2047</v>
      </c>
      <c r="L49" t="n">
        <v>2092</v>
      </c>
      <c r="M49" t="n">
        <v>1902</v>
      </c>
      <c r="N49" t="n">
        <v>886</v>
      </c>
      <c r="O49" t="n">
        <v>1428</v>
      </c>
      <c r="P49">
        <f>SUM(D49:O49)</f>
        <v/>
      </c>
      <c r="Q49" s="2">
        <f>AVERAGE(D49:O49)</f>
        <v/>
      </c>
      <c r="R49" s="3">
        <f>(O49-D49)/D49</f>
        <v/>
      </c>
    </row>
    <row r="50">
      <c r="A50" t="inlineStr">
        <is>
          <t>NMI-4150</t>
        </is>
      </c>
      <c r="B50" t="inlineStr">
        <is>
          <t>Parramatta</t>
        </is>
      </c>
      <c r="C50" t="inlineStr">
        <is>
          <t>Flat</t>
        </is>
      </c>
      <c r="D50" t="n">
        <v>2314</v>
      </c>
      <c r="E50" t="n">
        <v>865</v>
      </c>
      <c r="F50" t="n">
        <v>629</v>
      </c>
      <c r="G50" t="n">
        <v>744</v>
      </c>
      <c r="H50" t="n">
        <v>1880</v>
      </c>
      <c r="I50" t="n">
        <v>2117</v>
      </c>
      <c r="J50" t="n">
        <v>1123</v>
      </c>
      <c r="K50" t="n">
        <v>1482</v>
      </c>
      <c r="L50" t="n">
        <v>934</v>
      </c>
      <c r="M50" t="n">
        <v>713</v>
      </c>
      <c r="N50" t="n">
        <v>773</v>
      </c>
      <c r="O50" t="n">
        <v>1962</v>
      </c>
      <c r="P50">
        <f>SUM(D50:O50)</f>
        <v/>
      </c>
      <c r="Q50" s="2">
        <f>AVERAGE(D50:O50)</f>
        <v/>
      </c>
      <c r="R50" s="3">
        <f>(O50-D50)/D50</f>
        <v/>
      </c>
    </row>
    <row r="51">
      <c r="A51" t="inlineStr">
        <is>
          <t>NMI-4151</t>
        </is>
      </c>
      <c r="B51" t="inlineStr">
        <is>
          <t>Liverpool</t>
        </is>
      </c>
      <c r="C51" t="inlineStr">
        <is>
          <t>Demand</t>
        </is>
      </c>
      <c r="D51" t="n">
        <v>1973</v>
      </c>
      <c r="E51" t="n">
        <v>1177</v>
      </c>
      <c r="F51" t="n">
        <v>1826</v>
      </c>
      <c r="G51" t="n">
        <v>1096</v>
      </c>
      <c r="H51" t="n">
        <v>2018</v>
      </c>
      <c r="I51" t="n">
        <v>1200</v>
      </c>
      <c r="J51" t="n">
        <v>692</v>
      </c>
      <c r="K51" t="n">
        <v>1540</v>
      </c>
      <c r="L51" t="n">
        <v>979</v>
      </c>
      <c r="M51" t="n">
        <v>922</v>
      </c>
      <c r="N51" t="n">
        <v>1150</v>
      </c>
      <c r="O51" t="n">
        <v>1513</v>
      </c>
      <c r="P51">
        <f>SUM(D51:O51)</f>
        <v/>
      </c>
      <c r="Q51" s="2">
        <f>AVERAGE(D51:O51)</f>
        <v/>
      </c>
      <c r="R51" s="3">
        <f>(O51-D51)/D51</f>
        <v/>
      </c>
    </row>
    <row r="52">
      <c r="A52" t="inlineStr">
        <is>
          <t>NMI-4152</t>
        </is>
      </c>
      <c r="B52" t="inlineStr">
        <is>
          <t>Penrith</t>
        </is>
      </c>
      <c r="C52" t="inlineStr">
        <is>
          <t>TOU</t>
        </is>
      </c>
      <c r="D52" t="n">
        <v>1345</v>
      </c>
      <c r="E52" t="n">
        <v>1273</v>
      </c>
      <c r="F52" t="n">
        <v>1720</v>
      </c>
      <c r="G52" t="n">
        <v>1262</v>
      </c>
      <c r="H52" t="n">
        <v>1100</v>
      </c>
      <c r="I52" t="n">
        <v>670</v>
      </c>
      <c r="J52" t="n">
        <v>1233</v>
      </c>
      <c r="K52" t="n">
        <v>1046</v>
      </c>
      <c r="L52" t="n">
        <v>1330</v>
      </c>
      <c r="M52" t="n">
        <v>974</v>
      </c>
      <c r="N52" t="n">
        <v>602</v>
      </c>
      <c r="O52" t="n">
        <v>1286</v>
      </c>
      <c r="P52">
        <f>SUM(D52:O52)</f>
        <v/>
      </c>
      <c r="Q52" s="2">
        <f>AVERAGE(D52:O52)</f>
        <v/>
      </c>
      <c r="R52" s="3">
        <f>(O52-D52)/D52</f>
        <v/>
      </c>
    </row>
    <row r="53">
      <c r="A53" t="inlineStr">
        <is>
          <t>NMI-4153</t>
        </is>
      </c>
      <c r="B53" t="inlineStr">
        <is>
          <t>Liverpool</t>
        </is>
      </c>
      <c r="C53" t="inlineStr">
        <is>
          <t>Flat</t>
        </is>
      </c>
      <c r="D53" t="n">
        <v>1572</v>
      </c>
      <c r="E53" t="n">
        <v>1171</v>
      </c>
      <c r="F53" t="n">
        <v>1629</v>
      </c>
      <c r="G53" t="n">
        <v>1943</v>
      </c>
      <c r="H53" t="n">
        <v>1011</v>
      </c>
      <c r="I53" t="n">
        <v>1108</v>
      </c>
      <c r="J53" t="n">
        <v>1633</v>
      </c>
      <c r="K53" t="n">
        <v>2189</v>
      </c>
      <c r="L53" t="n">
        <v>610</v>
      </c>
      <c r="M53" t="n">
        <v>786</v>
      </c>
      <c r="N53" t="n">
        <v>1141</v>
      </c>
      <c r="O53" t="n">
        <v>2273</v>
      </c>
      <c r="P53">
        <f>SUM(D53:O53)</f>
        <v/>
      </c>
      <c r="Q53" s="2">
        <f>AVERAGE(D53:O53)</f>
        <v/>
      </c>
      <c r="R53" s="3">
        <f>(O53-D53)/D53</f>
        <v/>
      </c>
    </row>
    <row r="54">
      <c r="A54" t="inlineStr">
        <is>
          <t>NMI-4154</t>
        </is>
      </c>
      <c r="B54" t="inlineStr">
        <is>
          <t>Penrith</t>
        </is>
      </c>
      <c r="C54" t="inlineStr">
        <is>
          <t>Flat</t>
        </is>
      </c>
      <c r="D54" t="n">
        <v>1418</v>
      </c>
      <c r="E54" t="n">
        <v>1801</v>
      </c>
      <c r="F54" t="n">
        <v>685</v>
      </c>
      <c r="G54" t="n">
        <v>1406</v>
      </c>
      <c r="H54" t="n">
        <v>646</v>
      </c>
      <c r="I54" t="n">
        <v>1213</v>
      </c>
      <c r="J54" t="n">
        <v>1223</v>
      </c>
      <c r="K54" t="n">
        <v>1889</v>
      </c>
      <c r="L54" t="n">
        <v>1076</v>
      </c>
      <c r="M54" t="n">
        <v>773</v>
      </c>
      <c r="N54" t="n">
        <v>1799</v>
      </c>
      <c r="O54" t="n">
        <v>1683</v>
      </c>
      <c r="P54">
        <f>SUM(D54:O54)</f>
        <v/>
      </c>
      <c r="Q54" s="2">
        <f>AVERAGE(D54:O54)</f>
        <v/>
      </c>
      <c r="R54" s="3">
        <f>(O54-D54)/D54</f>
        <v/>
      </c>
    </row>
    <row r="55">
      <c r="A55" t="inlineStr">
        <is>
          <t>NMI-4155</t>
        </is>
      </c>
      <c r="B55" t="inlineStr">
        <is>
          <t>Blacktown</t>
        </is>
      </c>
      <c r="C55" t="inlineStr">
        <is>
          <t>Demand</t>
        </is>
      </c>
      <c r="D55" t="n">
        <v>2066</v>
      </c>
      <c r="E55" t="n">
        <v>2205</v>
      </c>
      <c r="F55" t="n">
        <v>2400</v>
      </c>
      <c r="G55" t="n">
        <v>1821</v>
      </c>
      <c r="H55" t="n">
        <v>1397</v>
      </c>
      <c r="I55" t="n">
        <v>2165</v>
      </c>
      <c r="J55" t="n">
        <v>1267</v>
      </c>
      <c r="K55" t="n">
        <v>2075</v>
      </c>
      <c r="L55" t="n">
        <v>1612</v>
      </c>
      <c r="M55" t="n">
        <v>906</v>
      </c>
      <c r="N55" t="n">
        <v>1181</v>
      </c>
      <c r="O55" t="n">
        <v>2083</v>
      </c>
      <c r="P55">
        <f>SUM(D55:O55)</f>
        <v/>
      </c>
      <c r="Q55" s="2">
        <f>AVERAGE(D55:O55)</f>
        <v/>
      </c>
      <c r="R55" s="3">
        <f>(O55-D55)/D55</f>
        <v/>
      </c>
    </row>
    <row r="56">
      <c r="A56" t="inlineStr">
        <is>
          <t>NMI-4156</t>
        </is>
      </c>
      <c r="B56" t="inlineStr">
        <is>
          <t>Campbelltown</t>
        </is>
      </c>
      <c r="C56" t="inlineStr">
        <is>
          <t>Demand</t>
        </is>
      </c>
      <c r="D56" t="n">
        <v>896</v>
      </c>
      <c r="E56" t="n">
        <v>689</v>
      </c>
      <c r="F56" t="n">
        <v>2289</v>
      </c>
      <c r="G56" t="n">
        <v>2310</v>
      </c>
      <c r="H56" t="n">
        <v>2064</v>
      </c>
      <c r="I56" t="n">
        <v>1650</v>
      </c>
      <c r="J56" t="n">
        <v>1884</v>
      </c>
      <c r="K56" t="n">
        <v>1479</v>
      </c>
      <c r="L56" t="n">
        <v>2102</v>
      </c>
      <c r="M56" t="n">
        <v>2035</v>
      </c>
      <c r="N56" t="n">
        <v>2263</v>
      </c>
      <c r="O56" t="n">
        <v>1635</v>
      </c>
      <c r="P56">
        <f>SUM(D56:O56)</f>
        <v/>
      </c>
      <c r="Q56" s="2">
        <f>AVERAGE(D56:O56)</f>
        <v/>
      </c>
      <c r="R56" s="3">
        <f>(O56-D56)/D56</f>
        <v/>
      </c>
    </row>
    <row r="57">
      <c r="A57" t="inlineStr">
        <is>
          <t>NMI-4157</t>
        </is>
      </c>
      <c r="B57" t="inlineStr">
        <is>
          <t>Blacktown</t>
        </is>
      </c>
      <c r="C57" t="inlineStr">
        <is>
          <t>Demand</t>
        </is>
      </c>
      <c r="D57" t="n">
        <v>2141</v>
      </c>
      <c r="E57" t="n">
        <v>1632</v>
      </c>
      <c r="F57" t="n">
        <v>1764</v>
      </c>
      <c r="G57" t="n">
        <v>2309</v>
      </c>
      <c r="H57" t="n">
        <v>2264</v>
      </c>
      <c r="I57" t="n">
        <v>2247</v>
      </c>
      <c r="J57" t="n">
        <v>632</v>
      </c>
      <c r="K57" t="n">
        <v>2292</v>
      </c>
      <c r="L57" t="n">
        <v>2005</v>
      </c>
      <c r="M57" t="n">
        <v>1796</v>
      </c>
      <c r="N57" t="n">
        <v>2234</v>
      </c>
      <c r="O57" t="n">
        <v>2056</v>
      </c>
      <c r="P57">
        <f>SUM(D57:O57)</f>
        <v/>
      </c>
      <c r="Q57" s="2">
        <f>AVERAGE(D57:O57)</f>
        <v/>
      </c>
      <c r="R57" s="3">
        <f>(O57-D57)/D57</f>
        <v/>
      </c>
    </row>
    <row r="58">
      <c r="A58" t="inlineStr">
        <is>
          <t>NMI-4158</t>
        </is>
      </c>
      <c r="B58" t="inlineStr">
        <is>
          <t>Blacktown</t>
        </is>
      </c>
      <c r="C58" t="inlineStr">
        <is>
          <t>Flat</t>
        </is>
      </c>
      <c r="D58" t="n">
        <v>663</v>
      </c>
      <c r="E58" t="n">
        <v>685</v>
      </c>
      <c r="F58" t="n">
        <v>872</v>
      </c>
      <c r="G58" t="n">
        <v>1904</v>
      </c>
      <c r="H58" t="n">
        <v>1338</v>
      </c>
      <c r="I58" t="n">
        <v>814</v>
      </c>
      <c r="J58" t="n">
        <v>1371</v>
      </c>
      <c r="K58" t="n">
        <v>2311</v>
      </c>
      <c r="L58" t="n">
        <v>1524</v>
      </c>
      <c r="M58" t="n">
        <v>1743</v>
      </c>
      <c r="N58" t="n">
        <v>703</v>
      </c>
      <c r="O58" t="n">
        <v>1885</v>
      </c>
      <c r="P58">
        <f>SUM(D58:O58)</f>
        <v/>
      </c>
      <c r="Q58" s="2">
        <f>AVERAGE(D58:O58)</f>
        <v/>
      </c>
      <c r="R58" s="3">
        <f>(O58-D58)/D58</f>
        <v/>
      </c>
    </row>
    <row r="59">
      <c r="A59" t="inlineStr">
        <is>
          <t>NMI-4159</t>
        </is>
      </c>
      <c r="B59" t="inlineStr">
        <is>
          <t>Penrith</t>
        </is>
      </c>
      <c r="C59" t="inlineStr">
        <is>
          <t>Demand</t>
        </is>
      </c>
      <c r="D59" t="n">
        <v>1688</v>
      </c>
      <c r="E59" t="n">
        <v>1994</v>
      </c>
      <c r="F59" t="n">
        <v>1100</v>
      </c>
      <c r="G59" t="n">
        <v>1602</v>
      </c>
      <c r="H59" t="n">
        <v>1140</v>
      </c>
      <c r="I59" t="n">
        <v>606</v>
      </c>
      <c r="J59" t="n">
        <v>1535</v>
      </c>
      <c r="K59" t="n">
        <v>2233</v>
      </c>
      <c r="L59" t="n">
        <v>743</v>
      </c>
      <c r="M59" t="n">
        <v>2132</v>
      </c>
      <c r="N59" t="n">
        <v>1630</v>
      </c>
      <c r="O59" t="n">
        <v>1696</v>
      </c>
      <c r="P59">
        <f>SUM(D59:O59)</f>
        <v/>
      </c>
      <c r="Q59" s="2">
        <f>AVERAGE(D59:O59)</f>
        <v/>
      </c>
      <c r="R59" s="3">
        <f>(O59-D59)/D59</f>
        <v/>
      </c>
    </row>
    <row r="60">
      <c r="A60" t="inlineStr">
        <is>
          <t>NMI-4160</t>
        </is>
      </c>
      <c r="B60" t="inlineStr">
        <is>
          <t>Penrith</t>
        </is>
      </c>
      <c r="C60" t="inlineStr">
        <is>
          <t>Demand</t>
        </is>
      </c>
      <c r="D60" t="n">
        <v>1677</v>
      </c>
      <c r="E60" t="n">
        <v>735</v>
      </c>
      <c r="F60" t="n">
        <v>2127</v>
      </c>
      <c r="G60" t="n">
        <v>2108</v>
      </c>
      <c r="H60" t="n">
        <v>1570</v>
      </c>
      <c r="I60" t="n">
        <v>1116</v>
      </c>
      <c r="J60" t="n">
        <v>2257</v>
      </c>
      <c r="K60" t="n">
        <v>752</v>
      </c>
      <c r="L60" t="n">
        <v>2332</v>
      </c>
      <c r="M60" t="n">
        <v>1143</v>
      </c>
      <c r="N60" t="n">
        <v>1080</v>
      </c>
      <c r="O60" t="n">
        <v>2093</v>
      </c>
      <c r="P60">
        <f>SUM(D60:O60)</f>
        <v/>
      </c>
      <c r="Q60" s="2">
        <f>AVERAGE(D60:O60)</f>
        <v/>
      </c>
      <c r="R60" s="3">
        <f>(O60-D60)/D60</f>
        <v/>
      </c>
    </row>
    <row r="61">
      <c r="A61" t="inlineStr">
        <is>
          <t>NMI-4161</t>
        </is>
      </c>
      <c r="B61" t="inlineStr">
        <is>
          <t>Blacktown</t>
        </is>
      </c>
      <c r="C61" t="inlineStr">
        <is>
          <t>Flat</t>
        </is>
      </c>
      <c r="D61" t="n">
        <v>2115</v>
      </c>
      <c r="E61" t="n">
        <v>1931</v>
      </c>
      <c r="F61" t="n">
        <v>1542</v>
      </c>
      <c r="G61" t="n">
        <v>1611</v>
      </c>
      <c r="H61" t="n">
        <v>2331</v>
      </c>
      <c r="I61" t="n">
        <v>1383</v>
      </c>
      <c r="J61" t="n">
        <v>757</v>
      </c>
      <c r="K61" t="n">
        <v>1581</v>
      </c>
      <c r="L61" t="n">
        <v>2000</v>
      </c>
      <c r="M61" t="n">
        <v>1188</v>
      </c>
      <c r="N61" t="n">
        <v>2170</v>
      </c>
      <c r="O61" t="n">
        <v>695</v>
      </c>
      <c r="P61">
        <f>SUM(D61:O61)</f>
        <v/>
      </c>
      <c r="Q61" s="2">
        <f>AVERAGE(D61:O61)</f>
        <v/>
      </c>
      <c r="R61" s="3">
        <f>(O61-D61)/D61</f>
        <v/>
      </c>
    </row>
    <row r="62">
      <c r="A62" t="inlineStr">
        <is>
          <t>Total</t>
        </is>
      </c>
      <c r="B62" t="inlineStr"/>
      <c r="C62" t="inlineStr"/>
      <c r="D62">
        <f>SUM(D2:D61)</f>
        <v/>
      </c>
      <c r="E62">
        <f>SUM(E2:E61)</f>
        <v/>
      </c>
      <c r="F62">
        <f>SUM(F2:F61)</f>
        <v/>
      </c>
      <c r="G62">
        <f>SUM(G2:G61)</f>
        <v/>
      </c>
      <c r="H62">
        <f>SUM(H2:H61)</f>
        <v/>
      </c>
      <c r="I62">
        <f>SUM(I2:I61)</f>
        <v/>
      </c>
      <c r="J62">
        <f>SUM(J2:J61)</f>
        <v/>
      </c>
      <c r="K62">
        <f>SUM(K2:K61)</f>
        <v/>
      </c>
      <c r="L62">
        <f>SUM(L2:L61)</f>
        <v/>
      </c>
      <c r="M62">
        <f>SUM(M2:M61)</f>
        <v/>
      </c>
      <c r="N62">
        <f>SUM(N2:N61)</f>
        <v/>
      </c>
      <c r="O62">
        <f>SUM(O2:O61)</f>
        <v/>
      </c>
      <c r="P62">
        <f>SUM(P2:P61)</f>
        <v/>
      </c>
      <c r="Q62" t="inlineStr"/>
      <c r="R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2026-10-08T22:28:59Z</dcterms:created>
  <dcterms:modified xmlns:dcterms="http://purl.org/dc/terms/" xmlns:xsi="http://www.w3.org/2001/XMLSchema-instance" xsi:type="dcterms:W3CDTF">2026-10-08T22:28:59Z</dcterms:modified>
</cp:coreProperties>
</file>